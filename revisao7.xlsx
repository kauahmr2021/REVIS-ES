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cuments\"/>
    </mc:Choice>
  </mc:AlternateContent>
  <xr:revisionPtr revIDLastSave="0" documentId="8_{C6AA0103-F748-4C84-B9C8-8AAFBC006B47}" xr6:coauthVersionLast="36" xr6:coauthVersionMax="36" xr10:uidLastSave="{00000000-0000-0000-0000-000000000000}"/>
  <bookViews>
    <workbookView xWindow="0" yWindow="0" windowWidth="28800" windowHeight="12105" xr2:uid="{C547EC29-3142-47F8-816A-5768B011C77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</calcChain>
</file>

<file path=xl/sharedStrings.xml><?xml version="1.0" encoding="utf-8"?>
<sst xmlns="http://schemas.openxmlformats.org/spreadsheetml/2006/main" count="91" uniqueCount="73">
  <si>
    <t>Nome</t>
  </si>
  <si>
    <t>Ana</t>
  </si>
  <si>
    <t>Eduardo</t>
  </si>
  <si>
    <t>Érica</t>
  </si>
  <si>
    <t>Fernanda</t>
  </si>
  <si>
    <t>Gabriela</t>
  </si>
  <si>
    <t>Helena</t>
  </si>
  <si>
    <t>Katiane</t>
  </si>
  <si>
    <t>Lilian</t>
  </si>
  <si>
    <t>Lucimara</t>
  </si>
  <si>
    <t>Maria</t>
  </si>
  <si>
    <t>Pedro</t>
  </si>
  <si>
    <t>Roberto</t>
  </si>
  <si>
    <t>Rubens</t>
  </si>
  <si>
    <t>Sônia</t>
  </si>
  <si>
    <t>Tatiane</t>
  </si>
  <si>
    <t>Endereço</t>
  </si>
  <si>
    <t>Bairro</t>
  </si>
  <si>
    <t>Cidade</t>
  </si>
  <si>
    <t>Estado</t>
  </si>
  <si>
    <t>Rodovia Anhanguera, km 180</t>
  </si>
  <si>
    <t>Centro</t>
  </si>
  <si>
    <t>Leme</t>
  </si>
  <si>
    <t>SP</t>
  </si>
  <si>
    <t>BA</t>
  </si>
  <si>
    <t>PE</t>
  </si>
  <si>
    <t>SC</t>
  </si>
  <si>
    <t>AM</t>
  </si>
  <si>
    <t>RJ</t>
  </si>
  <si>
    <t>RS</t>
  </si>
  <si>
    <t>MG</t>
  </si>
  <si>
    <t>R. Antônio de Castro, 362</t>
  </si>
  <si>
    <t>R. Tiradentes, 123</t>
  </si>
  <si>
    <t>Av. Orozimbo Maia, 987</t>
  </si>
  <si>
    <t>Rodovia Rio/São Paulo, km 77</t>
  </si>
  <si>
    <t xml:space="preserve">R. Júlio Mesquita, 66 </t>
  </si>
  <si>
    <t>R. 5, 78</t>
  </si>
  <si>
    <t>R. Lambarildo Peixe, 812</t>
  </si>
  <si>
    <t>Av. dos Jequitibas, 11</t>
  </si>
  <si>
    <t>Av. Ipiranga, 568</t>
  </si>
  <si>
    <t>R. Sergipe, 765</t>
  </si>
  <si>
    <t>Av. Limeira, 98</t>
  </si>
  <si>
    <t>Al. dos Laranjais, 99</t>
  </si>
  <si>
    <t>R. das Quaresmeiras, 810</t>
  </si>
  <si>
    <t>R. Minas Gerais, 67</t>
  </si>
  <si>
    <t>São Benedito</t>
  </si>
  <si>
    <t>Jd. Nova Campinas</t>
  </si>
  <si>
    <t>Praia Grande</t>
  </si>
  <si>
    <t>Jd. Europa</t>
  </si>
  <si>
    <t>Vila Tubarão</t>
  </si>
  <si>
    <t>Jd. Paulista</t>
  </si>
  <si>
    <t>Ibirapuera</t>
  </si>
  <si>
    <t>Botafogo</t>
  </si>
  <si>
    <t>Belvedere</t>
  </si>
  <si>
    <t>Vila Cláudia</t>
  </si>
  <si>
    <t xml:space="preserve">Parque Industrial </t>
  </si>
  <si>
    <t>Araras</t>
  </si>
  <si>
    <t>Salvador</t>
  </si>
  <si>
    <t>Campinas</t>
  </si>
  <si>
    <t>Ubatuba</t>
  </si>
  <si>
    <t>Recife</t>
  </si>
  <si>
    <t>Rio Claro</t>
  </si>
  <si>
    <t>Ribeirão Preto</t>
  </si>
  <si>
    <t>Florianópolis</t>
  </si>
  <si>
    <t>Manaus</t>
  </si>
  <si>
    <t>Rio de Janeiro</t>
  </si>
  <si>
    <t>Porto Alegre</t>
  </si>
  <si>
    <t>Poços de Caldas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</si>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</sst>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6E030-9C6F-449E-815A-8397B04898ED}">
  <dimension ref="A1:E22"/>
  <sheetViews>
    <sheetView tabSelected="1" workbookViewId="0">
      <selection activeCell="C18" sqref="C18:C22"/>
    </sheetView>
  </sheetViews>
  <sheetFormatPr defaultRowHeight="15" x14ac:dyDescent="0.25"/>
  <cols>
    <col min="2" max="2" width="27.42578125" customWidth="1"/>
    <col min="3" max="3" width="17.140625" customWidth="1"/>
    <col min="4" max="4" width="18.42578125" customWidth="1"/>
  </cols>
  <sheetData>
    <row r="1" spans="1:5" x14ac:dyDescent="0.2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s="2" t="s">
        <v>1</v>
      </c>
      <c r="B2" s="2" t="s">
        <v>20</v>
      </c>
      <c r="C2" s="2" t="s">
        <v>21</v>
      </c>
      <c r="D2" s="2" t="s">
        <v>22</v>
      </c>
      <c r="E2" s="2" t="s">
        <v>23</v>
      </c>
    </row>
    <row r="3" spans="1:5" x14ac:dyDescent="0.25">
      <c r="A3" s="2" t="s">
        <v>2</v>
      </c>
      <c r="B3" s="2" t="s">
        <v>31</v>
      </c>
      <c r="C3" s="2" t="s">
        <v>45</v>
      </c>
      <c r="D3" s="2" t="s">
        <v>56</v>
      </c>
      <c r="E3" s="2" t="s">
        <v>23</v>
      </c>
    </row>
    <row r="4" spans="1:5" x14ac:dyDescent="0.25">
      <c r="A4" s="2" t="s">
        <v>3</v>
      </c>
      <c r="B4" s="2" t="s">
        <v>32</v>
      </c>
      <c r="C4" s="2" t="s">
        <v>21</v>
      </c>
      <c r="D4" s="2" t="s">
        <v>57</v>
      </c>
      <c r="E4" s="2" t="s">
        <v>24</v>
      </c>
    </row>
    <row r="5" spans="1:5" x14ac:dyDescent="0.25">
      <c r="A5" s="2" t="s">
        <v>4</v>
      </c>
      <c r="B5" s="2" t="s">
        <v>33</v>
      </c>
      <c r="C5" s="2" t="s">
        <v>46</v>
      </c>
      <c r="D5" s="2" t="s">
        <v>58</v>
      </c>
      <c r="E5" s="2" t="s">
        <v>23</v>
      </c>
    </row>
    <row r="6" spans="1:5" x14ac:dyDescent="0.25">
      <c r="A6" s="2" t="s">
        <v>5</v>
      </c>
      <c r="B6" s="2" t="s">
        <v>34</v>
      </c>
      <c r="C6" s="2" t="s">
        <v>47</v>
      </c>
      <c r="D6" s="2" t="s">
        <v>59</v>
      </c>
      <c r="E6" s="2" t="s">
        <v>23</v>
      </c>
    </row>
    <row r="7" spans="1:5" x14ac:dyDescent="0.25">
      <c r="A7" s="2" t="s">
        <v>6</v>
      </c>
      <c r="B7" s="2" t="s">
        <v>35</v>
      </c>
      <c r="C7" s="2" t="s">
        <v>21</v>
      </c>
      <c r="D7" s="2" t="s">
        <v>60</v>
      </c>
      <c r="E7" s="2" t="s">
        <v>25</v>
      </c>
    </row>
    <row r="8" spans="1:5" x14ac:dyDescent="0.25">
      <c r="A8" s="2" t="s">
        <v>7</v>
      </c>
      <c r="B8" s="2" t="s">
        <v>36</v>
      </c>
      <c r="C8" s="2" t="s">
        <v>48</v>
      </c>
      <c r="D8" s="2" t="s">
        <v>61</v>
      </c>
      <c r="E8" s="2" t="s">
        <v>23</v>
      </c>
    </row>
    <row r="9" spans="1:5" x14ac:dyDescent="0.25">
      <c r="A9" s="2" t="s">
        <v>8</v>
      </c>
      <c r="B9" s="2" t="s">
        <v>37</v>
      </c>
      <c r="C9" s="2" t="s">
        <v>49</v>
      </c>
      <c r="D9" s="2" t="s">
        <v>62</v>
      </c>
      <c r="E9" s="2" t="s">
        <v>23</v>
      </c>
    </row>
    <row r="10" spans="1:5" x14ac:dyDescent="0.25">
      <c r="A10" s="2" t="s">
        <v>9</v>
      </c>
      <c r="B10" s="2" t="s">
        <v>38</v>
      </c>
      <c r="C10" s="2" t="s">
        <v>50</v>
      </c>
      <c r="D10" s="2" t="s">
        <v>63</v>
      </c>
      <c r="E10" s="2" t="s">
        <v>26</v>
      </c>
    </row>
    <row r="11" spans="1:5" x14ac:dyDescent="0.25">
      <c r="A11" s="2" t="s">
        <v>10</v>
      </c>
      <c r="B11" s="2" t="s">
        <v>39</v>
      </c>
      <c r="C11" s="2" t="s">
        <v>51</v>
      </c>
      <c r="D11" s="2" t="s">
        <v>64</v>
      </c>
      <c r="E11" s="2" t="s">
        <v>27</v>
      </c>
    </row>
    <row r="12" spans="1:5" x14ac:dyDescent="0.25">
      <c r="A12" s="2" t="s">
        <v>11</v>
      </c>
      <c r="B12" s="2" t="s">
        <v>40</v>
      </c>
      <c r="C12" s="2" t="s">
        <v>52</v>
      </c>
      <c r="D12" s="2" t="s">
        <v>58</v>
      </c>
      <c r="E12" s="2" t="s">
        <v>23</v>
      </c>
    </row>
    <row r="13" spans="1:5" x14ac:dyDescent="0.25">
      <c r="A13" s="2" t="s">
        <v>12</v>
      </c>
      <c r="B13" s="2" t="s">
        <v>41</v>
      </c>
      <c r="C13" s="2" t="s">
        <v>53</v>
      </c>
      <c r="D13" s="2" t="s">
        <v>56</v>
      </c>
      <c r="E13" s="2" t="s">
        <v>23</v>
      </c>
    </row>
    <row r="14" spans="1:5" x14ac:dyDescent="0.25">
      <c r="A14" s="2" t="s">
        <v>13</v>
      </c>
      <c r="B14" s="2" t="s">
        <v>42</v>
      </c>
      <c r="C14" s="2" t="s">
        <v>21</v>
      </c>
      <c r="D14" s="2" t="s">
        <v>65</v>
      </c>
      <c r="E14" s="2" t="s">
        <v>28</v>
      </c>
    </row>
    <row r="15" spans="1:5" x14ac:dyDescent="0.25">
      <c r="A15" s="2" t="s">
        <v>14</v>
      </c>
      <c r="B15" s="2" t="s">
        <v>43</v>
      </c>
      <c r="C15" s="2" t="s">
        <v>54</v>
      </c>
      <c r="D15" s="2" t="s">
        <v>66</v>
      </c>
      <c r="E15" s="2" t="s">
        <v>29</v>
      </c>
    </row>
    <row r="16" spans="1:5" x14ac:dyDescent="0.25">
      <c r="A16" s="2" t="s">
        <v>15</v>
      </c>
      <c r="B16" s="2" t="s">
        <v>44</v>
      </c>
      <c r="C16" s="2" t="s">
        <v>55</v>
      </c>
      <c r="D16" s="2" t="s">
        <v>67</v>
      </c>
      <c r="E16" s="2" t="s">
        <v>30</v>
      </c>
    </row>
    <row r="18" spans="1:3" x14ac:dyDescent="0.25">
      <c r="A18" s="2" t="s">
        <v>0</v>
      </c>
      <c r="B18" s="2" t="s">
        <v>13</v>
      </c>
      <c r="C18" s="1" t="s">
        <v>68</v>
      </c>
    </row>
    <row r="19" spans="1:3" x14ac:dyDescent="0.25">
      <c r="A19" s="2" t="s">
        <v>16</v>
      </c>
      <c r="B19" s="2" t="str">
        <f>VLOOKUP(A14,A2:E16,2,0)</f>
        <v>Al. dos Laranjais, 99</v>
      </c>
      <c r="C19" s="1" t="s">
        <v>69</v>
      </c>
    </row>
    <row r="20" spans="1:3" x14ac:dyDescent="0.25">
      <c r="A20" s="2" t="s">
        <v>17</v>
      </c>
      <c r="B20" s="2" t="str">
        <f>VLOOKUP($A$14,A3:E17,3,0)</f>
        <v>Centro</v>
      </c>
      <c r="C20" s="1" t="s">
        <v>70</v>
      </c>
    </row>
    <row r="21" spans="1:3" x14ac:dyDescent="0.25">
      <c r="A21" s="2" t="s">
        <v>18</v>
      </c>
      <c r="B21" s="2" t="str">
        <f>VLOOKUP($A$14,A4:E18,4,0)</f>
        <v>Rio de Janeiro</v>
      </c>
      <c r="C21" s="1" t="s">
        <v>71</v>
      </c>
    </row>
    <row r="22" spans="1:3" x14ac:dyDescent="0.25">
      <c r="A22" s="2" t="s">
        <v>19</v>
      </c>
      <c r="B22" s="2" t="str">
        <f>VLOOKUP(A14,A5:E19,5,0)</f>
        <v>RJ</v>
      </c>
      <c r="C22" s="1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2026-03-17T14:21:25Z</dcterms:created>
  <dcterms:modified xsi:type="dcterms:W3CDTF">2026-03-17T14:43:52Z</dcterms:modified>
</cp:coreProperties>
</file>