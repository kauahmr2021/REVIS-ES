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cuments\"/>
    </mc:Choice>
  </mc:AlternateContent>
  <xr:revisionPtr revIDLastSave="0" documentId="8_{BF688332-765F-49C1-9F4C-A87D9EBF7DA0}" xr6:coauthVersionLast="36" xr6:coauthVersionMax="36" xr10:uidLastSave="{00000000-0000-0000-0000-000000000000}"/>
  <bookViews>
    <workbookView xWindow="0" yWindow="0" windowWidth="14370" windowHeight="12075" xr2:uid="{13A17AAD-BBD7-455E-ACF9-EBA482F49EF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9" i="1" s="1"/>
  <c r="G21" i="1" s="1"/>
  <c r="F15" i="1"/>
  <c r="H19" i="1"/>
  <c r="H15" i="1"/>
  <c r="H12" i="1"/>
  <c r="I9" i="1"/>
  <c r="C9" i="1"/>
  <c r="C19" i="1"/>
  <c r="D9" i="1"/>
  <c r="E9" i="1"/>
  <c r="F9" i="1"/>
  <c r="G9" i="1"/>
  <c r="H9" i="1"/>
  <c r="I21" i="1"/>
  <c r="D21" i="1"/>
  <c r="E21" i="1"/>
  <c r="F21" i="1"/>
  <c r="D19" i="1"/>
  <c r="E19" i="1"/>
  <c r="F19" i="1"/>
  <c r="I19" i="1"/>
  <c r="F3" i="1"/>
  <c r="G3" i="1"/>
  <c r="H3" i="1"/>
  <c r="I3" i="1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I2" i="1"/>
  <c r="H2" i="1"/>
  <c r="G2" i="1"/>
  <c r="F2" i="1"/>
  <c r="F13" i="1"/>
  <c r="G13" i="1"/>
  <c r="H13" i="1"/>
  <c r="I13" i="1"/>
  <c r="F14" i="1"/>
  <c r="G14" i="1"/>
  <c r="H14" i="1"/>
  <c r="I14" i="1"/>
  <c r="G15" i="1"/>
  <c r="I15" i="1"/>
  <c r="F16" i="1"/>
  <c r="H16" i="1"/>
  <c r="I16" i="1"/>
  <c r="F17" i="1"/>
  <c r="G17" i="1"/>
  <c r="H17" i="1"/>
  <c r="I17" i="1"/>
  <c r="F12" i="1"/>
  <c r="I12" i="1"/>
  <c r="G12" i="1"/>
  <c r="H21" i="1" l="1"/>
  <c r="C21" i="1"/>
</calcChain>
</file>

<file path=xl/sharedStrings.xml><?xml version="1.0" encoding="utf-8"?>
<sst xmlns="http://schemas.openxmlformats.org/spreadsheetml/2006/main" count="35" uniqueCount="22">
  <si>
    <t>TOTAIS</t>
  </si>
  <si>
    <t>CÓDIGO</t>
  </si>
  <si>
    <t>PRODUTO</t>
  </si>
  <si>
    <t>JAN</t>
  </si>
  <si>
    <t>FEV</t>
  </si>
  <si>
    <t>MAR</t>
  </si>
  <si>
    <t>TOTAL 1° TRIM.</t>
  </si>
  <si>
    <t>MÁXIMO</t>
  </si>
  <si>
    <t>MÍNIMO</t>
  </si>
  <si>
    <t>MÉDIA</t>
  </si>
  <si>
    <t>TOTAL 2° TRIM.</t>
  </si>
  <si>
    <t>TOTAL DO SEMESTRE</t>
  </si>
  <si>
    <t>PORCA</t>
  </si>
  <si>
    <t>PARAFUSO</t>
  </si>
  <si>
    <t>ARRUELA</t>
  </si>
  <si>
    <t>PREGO</t>
  </si>
  <si>
    <t>ALICATE</t>
  </si>
  <si>
    <t>MARTELO</t>
  </si>
  <si>
    <t>ABR</t>
  </si>
  <si>
    <t>MAI</t>
  </si>
  <si>
    <t>JUN</t>
  </si>
  <si>
    <t>PRODUTOS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</si>
</sst>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43" fontId="0" fillId="0" borderId="1" xfId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43" fontId="0" fillId="0" borderId="1" xfId="1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4" fontId="0" fillId="0" borderId="1" xfId="0" applyNumberFormat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75073-5474-4205-9F7E-A42B6DB2ECA8}">
  <dimension ref="A1:I21"/>
  <sheetViews>
    <sheetView tabSelected="1" workbookViewId="0">
      <selection activeCell="E28" sqref="E28"/>
    </sheetView>
  </sheetViews>
  <sheetFormatPr defaultRowHeight="15" x14ac:dyDescent="0.25"/>
  <cols>
    <col min="1" max="1" width="10" customWidth="1"/>
    <col min="2" max="2" width="10.140625" customWidth="1"/>
    <col min="3" max="3" width="11.140625" customWidth="1"/>
    <col min="4" max="4" width="12.85546875" customWidth="1"/>
    <col min="5" max="5" width="11.5703125" customWidth="1"/>
    <col min="6" max="6" width="16.140625" customWidth="1"/>
    <col min="7" max="7" width="11.5703125" customWidth="1"/>
    <col min="8" max="8" width="12.42578125" customWidth="1"/>
    <col min="9" max="9" width="10.7109375" customWidth="1"/>
  </cols>
  <sheetData>
    <row r="1" spans="1:9" x14ac:dyDescent="0.25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25">
      <c r="A2" s="2">
        <v>1</v>
      </c>
      <c r="B2" s="2" t="s">
        <v>12</v>
      </c>
      <c r="C2" s="7">
        <v>4500</v>
      </c>
      <c r="D2" s="7">
        <v>5040</v>
      </c>
      <c r="E2" s="7">
        <v>5696</v>
      </c>
      <c r="F2" s="5">
        <f>SUM(C2:E2)</f>
        <v>15236</v>
      </c>
      <c r="G2" s="5">
        <f>MAX(C2:E2)</f>
        <v>5696</v>
      </c>
      <c r="H2" s="5">
        <f>MIN(C2:E2)</f>
        <v>4500</v>
      </c>
      <c r="I2" s="5">
        <f>AVERAGE(C2:E2)</f>
        <v>5078.666666666667</v>
      </c>
    </row>
    <row r="3" spans="1:9" x14ac:dyDescent="0.25">
      <c r="A3" s="2">
        <v>2</v>
      </c>
      <c r="B3" s="2" t="s">
        <v>13</v>
      </c>
      <c r="C3" s="7">
        <v>6250</v>
      </c>
      <c r="D3" s="7">
        <v>7000</v>
      </c>
      <c r="E3" s="7">
        <v>7910</v>
      </c>
      <c r="F3" s="5">
        <f t="shared" ref="F3:F7" si="0">SUM(C3:E3)</f>
        <v>21160</v>
      </c>
      <c r="G3" s="5">
        <f t="shared" ref="G3:G7" si="1">MAX(C3:E3)</f>
        <v>7910</v>
      </c>
      <c r="H3" s="5">
        <f t="shared" ref="H3:H7" si="2">MIN(C3:E3)</f>
        <v>6250</v>
      </c>
      <c r="I3" s="5">
        <f t="shared" ref="I3:I7" si="3">AVERAGE(C3:E3)</f>
        <v>7053.333333333333</v>
      </c>
    </row>
    <row r="4" spans="1:9" x14ac:dyDescent="0.25">
      <c r="A4" s="2">
        <v>3</v>
      </c>
      <c r="B4" s="2" t="s">
        <v>14</v>
      </c>
      <c r="C4" s="7">
        <v>3300</v>
      </c>
      <c r="D4" s="7">
        <v>3696</v>
      </c>
      <c r="E4" s="7">
        <v>4176</v>
      </c>
      <c r="F4" s="5">
        <f t="shared" si="0"/>
        <v>11172</v>
      </c>
      <c r="G4" s="5">
        <f t="shared" si="1"/>
        <v>4176</v>
      </c>
      <c r="H4" s="5">
        <f t="shared" si="2"/>
        <v>3300</v>
      </c>
      <c r="I4" s="5">
        <f t="shared" si="3"/>
        <v>3724</v>
      </c>
    </row>
    <row r="5" spans="1:9" x14ac:dyDescent="0.25">
      <c r="A5" s="2">
        <v>4</v>
      </c>
      <c r="B5" s="2" t="s">
        <v>15</v>
      </c>
      <c r="C5" s="7">
        <v>8000</v>
      </c>
      <c r="D5" s="7">
        <v>8690</v>
      </c>
      <c r="E5" s="7">
        <v>10125</v>
      </c>
      <c r="F5" s="5">
        <f t="shared" si="0"/>
        <v>26815</v>
      </c>
      <c r="G5" s="5">
        <f t="shared" si="1"/>
        <v>10125</v>
      </c>
      <c r="H5" s="5">
        <f t="shared" si="2"/>
        <v>8000</v>
      </c>
      <c r="I5" s="5">
        <f t="shared" si="3"/>
        <v>8938.3333333333339</v>
      </c>
    </row>
    <row r="6" spans="1:9" x14ac:dyDescent="0.25">
      <c r="A6" s="2">
        <v>5</v>
      </c>
      <c r="B6" s="2" t="s">
        <v>16</v>
      </c>
      <c r="C6" s="7">
        <v>4557</v>
      </c>
      <c r="D6" s="7">
        <v>5104</v>
      </c>
      <c r="E6" s="7">
        <v>5676</v>
      </c>
      <c r="F6" s="5">
        <f t="shared" si="0"/>
        <v>15337</v>
      </c>
      <c r="G6" s="5">
        <f t="shared" si="1"/>
        <v>5676</v>
      </c>
      <c r="H6" s="5">
        <f t="shared" si="2"/>
        <v>4557</v>
      </c>
      <c r="I6" s="5">
        <f t="shared" si="3"/>
        <v>5112.333333333333</v>
      </c>
    </row>
    <row r="7" spans="1:9" x14ac:dyDescent="0.25">
      <c r="A7" s="2">
        <v>6</v>
      </c>
      <c r="B7" s="2" t="s">
        <v>17</v>
      </c>
      <c r="C7" s="7">
        <v>3260</v>
      </c>
      <c r="D7" s="7">
        <v>3640</v>
      </c>
      <c r="E7" s="7">
        <v>4113</v>
      </c>
      <c r="F7" s="5">
        <f t="shared" si="0"/>
        <v>11013</v>
      </c>
      <c r="G7" s="5">
        <f t="shared" si="1"/>
        <v>4113</v>
      </c>
      <c r="H7" s="5">
        <f t="shared" si="2"/>
        <v>3260</v>
      </c>
      <c r="I7" s="5">
        <f t="shared" si="3"/>
        <v>3671</v>
      </c>
    </row>
    <row r="9" spans="1:9" x14ac:dyDescent="0.25">
      <c r="A9" s="2" t="s">
        <v>0</v>
      </c>
      <c r="B9" s="3"/>
      <c r="C9" s="5">
        <f>SUM(C2:C7)</f>
        <v>29867</v>
      </c>
      <c r="D9" s="5">
        <f t="shared" ref="D9:I9" si="4">SUM(D2:D7)</f>
        <v>33170</v>
      </c>
      <c r="E9" s="5">
        <f t="shared" si="4"/>
        <v>37696</v>
      </c>
      <c r="F9" s="5">
        <f t="shared" si="4"/>
        <v>100733</v>
      </c>
      <c r="G9" s="5">
        <f t="shared" si="4"/>
        <v>37696</v>
      </c>
      <c r="H9" s="5">
        <f t="shared" si="4"/>
        <v>29867</v>
      </c>
      <c r="I9" s="5">
        <f>SUM(I2:I7)</f>
        <v>33577.666666666672</v>
      </c>
    </row>
    <row r="11" spans="1:9" x14ac:dyDescent="0.25">
      <c r="A11" s="2" t="s">
        <v>1</v>
      </c>
      <c r="B11" s="2" t="s">
        <v>2</v>
      </c>
      <c r="C11" s="2" t="s">
        <v>18</v>
      </c>
      <c r="D11" s="2" t="s">
        <v>19</v>
      </c>
      <c r="E11" s="2" t="s">
        <v>20</v>
      </c>
      <c r="F11" s="2" t="s">
        <v>10</v>
      </c>
      <c r="G11" s="2" t="s">
        <v>7</v>
      </c>
      <c r="H11" s="2" t="s">
        <v>8</v>
      </c>
      <c r="I11" s="2" t="s">
        <v>9</v>
      </c>
    </row>
    <row r="12" spans="1:9" x14ac:dyDescent="0.25">
      <c r="A12" s="2">
        <v>1</v>
      </c>
      <c r="B12" s="2" t="s">
        <v>12</v>
      </c>
      <c r="C12" s="5">
        <v>6265</v>
      </c>
      <c r="D12" s="5">
        <v>6954</v>
      </c>
      <c r="E12" s="5">
        <v>7858</v>
      </c>
      <c r="F12" s="5">
        <f>SUM(C12:E12)</f>
        <v>21077</v>
      </c>
      <c r="G12" s="5">
        <f>MAX(C12:E12)</f>
        <v>7858</v>
      </c>
      <c r="H12" s="5">
        <f>MIN(C12:E12)</f>
        <v>6265</v>
      </c>
      <c r="I12" s="5">
        <f>AVERAGE(C12:E12)</f>
        <v>7025.666666666667</v>
      </c>
    </row>
    <row r="13" spans="1:9" x14ac:dyDescent="0.25">
      <c r="A13" s="2">
        <v>2</v>
      </c>
      <c r="B13" s="2" t="s">
        <v>13</v>
      </c>
      <c r="C13" s="6">
        <v>8701</v>
      </c>
      <c r="D13" s="6">
        <v>9658</v>
      </c>
      <c r="E13" s="6">
        <v>10197</v>
      </c>
      <c r="F13" s="5">
        <f t="shared" ref="F13:F17" si="5">SUM(C13:E13)</f>
        <v>28556</v>
      </c>
      <c r="G13" s="5">
        <f t="shared" ref="G13:G17" si="6">MAX(C13:E13)</f>
        <v>10197</v>
      </c>
      <c r="H13" s="5">
        <f t="shared" ref="H13:H17" si="7">MIN(C13:E13)</f>
        <v>8701</v>
      </c>
      <c r="I13" s="5">
        <f t="shared" ref="I13:I17" si="8">AVERAGE(C13:E13)</f>
        <v>9518.6666666666661</v>
      </c>
    </row>
    <row r="14" spans="1:9" x14ac:dyDescent="0.25">
      <c r="A14" s="2">
        <v>3</v>
      </c>
      <c r="B14" s="2" t="s">
        <v>14</v>
      </c>
      <c r="C14" s="6">
        <v>4569</v>
      </c>
      <c r="D14" s="6">
        <v>5099</v>
      </c>
      <c r="E14" s="6">
        <v>5769</v>
      </c>
      <c r="F14" s="5">
        <f t="shared" si="5"/>
        <v>15437</v>
      </c>
      <c r="G14" s="5">
        <f t="shared" si="6"/>
        <v>5769</v>
      </c>
      <c r="H14" s="5">
        <f t="shared" si="7"/>
        <v>4569</v>
      </c>
      <c r="I14" s="5">
        <f t="shared" si="8"/>
        <v>5145.666666666667</v>
      </c>
    </row>
    <row r="15" spans="1:9" x14ac:dyDescent="0.25">
      <c r="A15" s="2">
        <v>4</v>
      </c>
      <c r="B15" s="2" t="s">
        <v>15</v>
      </c>
      <c r="C15" s="6">
        <v>12341</v>
      </c>
      <c r="D15" s="6">
        <v>12365</v>
      </c>
      <c r="E15" s="6">
        <v>13969</v>
      </c>
      <c r="F15" s="5">
        <f>SUM(C15:E15)</f>
        <v>38675</v>
      </c>
      <c r="G15" s="5">
        <f t="shared" si="6"/>
        <v>13969</v>
      </c>
      <c r="H15" s="5">
        <f>MIN(C15:E15)</f>
        <v>12341</v>
      </c>
      <c r="I15" s="5">
        <f t="shared" si="8"/>
        <v>12891.666666666666</v>
      </c>
    </row>
    <row r="16" spans="1:9" x14ac:dyDescent="0.25">
      <c r="A16" s="2">
        <v>5</v>
      </c>
      <c r="B16" s="2" t="s">
        <v>16</v>
      </c>
      <c r="C16" s="7">
        <v>6344</v>
      </c>
      <c r="D16" s="7">
        <v>7042</v>
      </c>
      <c r="E16" s="7">
        <v>7957</v>
      </c>
      <c r="F16" s="5">
        <f t="shared" si="5"/>
        <v>21343</v>
      </c>
      <c r="G16" s="5">
        <f>MAX(C16:E16)</f>
        <v>7957</v>
      </c>
      <c r="H16" s="5">
        <f t="shared" si="7"/>
        <v>6344</v>
      </c>
      <c r="I16" s="5">
        <f t="shared" si="8"/>
        <v>7114.333333333333</v>
      </c>
    </row>
    <row r="17" spans="1:9" x14ac:dyDescent="0.25">
      <c r="A17" s="2">
        <v>6</v>
      </c>
      <c r="B17" s="2" t="s">
        <v>17</v>
      </c>
      <c r="C17" s="7">
        <v>4525</v>
      </c>
      <c r="D17" s="7">
        <v>5022</v>
      </c>
      <c r="E17" s="7">
        <v>5671</v>
      </c>
      <c r="F17" s="5">
        <f t="shared" si="5"/>
        <v>15218</v>
      </c>
      <c r="G17" s="5">
        <f t="shared" si="6"/>
        <v>5671</v>
      </c>
      <c r="H17" s="5">
        <f t="shared" si="7"/>
        <v>4525</v>
      </c>
      <c r="I17" s="5">
        <f t="shared" si="8"/>
        <v>5072.666666666667</v>
      </c>
    </row>
    <row r="19" spans="1:9" x14ac:dyDescent="0.25">
      <c r="A19" s="2" t="s">
        <v>0</v>
      </c>
      <c r="B19" s="1" t="s">
        <v>21</v>
      </c>
      <c r="C19" s="5">
        <f>SUM(C12:C17)</f>
        <v>42745</v>
      </c>
      <c r="D19" s="5">
        <f t="shared" ref="D19:I19" si="9">SUM(D12:D17)</f>
        <v>46140</v>
      </c>
      <c r="E19" s="5">
        <f t="shared" si="9"/>
        <v>51421</v>
      </c>
      <c r="F19" s="5">
        <f t="shared" si="9"/>
        <v>140306</v>
      </c>
      <c r="G19" s="5">
        <f t="shared" si="9"/>
        <v>51421</v>
      </c>
      <c r="H19" s="5">
        <f>SUM(H12:H17)</f>
        <v>42745</v>
      </c>
      <c r="I19" s="5">
        <f t="shared" si="9"/>
        <v>46768.666666666664</v>
      </c>
    </row>
    <row r="21" spans="1:9" ht="30" x14ac:dyDescent="0.25">
      <c r="A21" s="4" t="s">
        <v>11</v>
      </c>
      <c r="B21" s="1" t="s">
        <v>21</v>
      </c>
      <c r="C21" s="3">
        <f>SUM(C9+C19)</f>
        <v>72612</v>
      </c>
      <c r="D21" s="3">
        <f>SUM(D9+D19)</f>
        <v>79310</v>
      </c>
      <c r="E21" s="3">
        <f t="shared" ref="D21:I21" si="10">SUM(E9+E19)</f>
        <v>89117</v>
      </c>
      <c r="F21" s="3">
        <f t="shared" si="10"/>
        <v>241039</v>
      </c>
      <c r="G21" s="3">
        <f t="shared" si="10"/>
        <v>89117</v>
      </c>
      <c r="H21" s="3">
        <f t="shared" si="10"/>
        <v>72612</v>
      </c>
      <c r="I21" s="3">
        <f t="shared" si="10"/>
        <v>80346.333333333343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2026-03-24T13:25:13Z</dcterms:created>
  <dcterms:modified xsi:type="dcterms:W3CDTF">2026-03-24T13:53:55Z</dcterms:modified>
</cp:coreProperties>
</file>