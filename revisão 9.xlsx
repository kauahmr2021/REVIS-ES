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3891E86A-0597-4698-8099-3C704D830BB9}" xr6:coauthVersionLast="36" xr6:coauthVersionMax="36" xr10:uidLastSave="{00000000-0000-0000-0000-000000000000}"/>
  <bookViews>
    <workbookView xWindow="0" yWindow="0" windowWidth="21570" windowHeight="7890" activeTab="1" xr2:uid="{FB2A0A00-C104-4288-8F03-3E1C46039C8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7" i="1"/>
  <c r="H8" i="1"/>
  <c r="H9" i="1"/>
  <c r="H10" i="1"/>
  <c r="H11" i="1"/>
  <c r="H12" i="1"/>
  <c r="H13" i="1"/>
  <c r="H14" i="1"/>
  <c r="H15" i="1"/>
  <c r="H16" i="1"/>
  <c r="H6" i="1"/>
  <c r="G6" i="1"/>
  <c r="G7" i="1"/>
  <c r="F6" i="1"/>
  <c r="G9" i="1"/>
  <c r="G10" i="1"/>
  <c r="G11" i="1"/>
  <c r="G12" i="1"/>
  <c r="G13" i="1"/>
  <c r="G14" i="1"/>
  <c r="G15" i="1"/>
  <c r="G16" i="1"/>
  <c r="G8" i="1"/>
  <c r="F14" i="1"/>
  <c r="F10" i="1"/>
  <c r="F8" i="1"/>
  <c r="F7" i="1"/>
  <c r="F9" i="1"/>
  <c r="F11" i="1"/>
  <c r="F12" i="1"/>
  <c r="F13" i="1"/>
  <c r="F15" i="1"/>
  <c r="F16" i="1"/>
  <c r="E17" i="1"/>
  <c r="E7" i="1"/>
  <c r="E8" i="1"/>
  <c r="E9" i="1"/>
  <c r="E10" i="1"/>
  <c r="E11" i="1"/>
  <c r="E12" i="1"/>
  <c r="E13" i="1"/>
  <c r="E14" i="1"/>
  <c r="E15" i="1"/>
  <c r="E16" i="1"/>
  <c r="E6" i="1"/>
  <c r="D17" i="1"/>
  <c r="C17" i="1"/>
  <c r="B17" i="1"/>
  <c r="F17" i="1" l="1"/>
  <c r="G17" i="1"/>
</calcChain>
</file>

<file path=xl/sharedStrings.xml><?xml version="1.0" encoding="utf-8"?>
<sst xmlns="http://schemas.openxmlformats.org/spreadsheetml/2006/main" count="25" uniqueCount="22">
  <si>
    <t>BORRACHA</t>
  </si>
  <si>
    <t>CADERNO 100 FLS</t>
  </si>
  <si>
    <t>CADERNO 200 FLS</t>
  </si>
  <si>
    <t>CANETA AZUL</t>
  </si>
  <si>
    <t>CANETA VERMELHA</t>
  </si>
  <si>
    <t>LAPISEIRA</t>
  </si>
  <si>
    <t>RÉGUA 15CM</t>
  </si>
  <si>
    <t>RÉGUA 30 CM</t>
  </si>
  <si>
    <t>GIZ DE CERA</t>
  </si>
  <si>
    <t>COLA</t>
  </si>
  <si>
    <t>COMPASSO</t>
  </si>
  <si>
    <t>TOTAIS</t>
  </si>
  <si>
    <t>PRODUTO</t>
  </si>
  <si>
    <t>ESTOQUE</t>
  </si>
  <si>
    <t>CUSTO</t>
  </si>
  <si>
    <t>VENDA</t>
  </si>
  <si>
    <t>TOTAL</t>
  </si>
  <si>
    <t>porc.de lucro</t>
  </si>
  <si>
    <t>valor do dólar</t>
  </si>
  <si>
    <t>Dolár</t>
  </si>
  <si>
    <t>Reais</t>
  </si>
  <si>
    <t>Empresa Papelaria Livro Caro R Tiradentes, 1234 Araras/Sp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</si>
</sst>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-[$$-409]* #,##0.00_ ;_-[$$-409]* \-#,##0.00\ ;_-[$$-409]* &quot;-&quot;??_ ;_-@_ "/>
    <numFmt numFmtId="170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Border="1"/>
    <xf numFmtId="10" fontId="0" fillId="0" borderId="0" xfId="1" applyNumberFormat="1" applyFont="1"/>
    <xf numFmtId="169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applyAlignment="1">
      <alignment horizont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1"/>
          <c:order val="1"/>
          <c:tx>
            <c:strRef>
              <c:f>Planilha1!$C$5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Planilha1!$A$6:$A$17</c15:sqref>
                  </c15:fullRef>
                </c:ext>
              </c:extLst>
              <c:f>Planilha1!$A$6:$A$16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Planilha1!$C$6:$C$17</c15:sqref>
                  </c15:fullRef>
                </c:ext>
              </c:extLst>
              <c:f>Planilha1!$C$6:$C$16</c:f>
              <c:numCache>
                <c:formatCode>_-[$R$-416]\ * #,##0.00_-;\-[$R$-416]\ * #,##0.00_-;_-[$R$-416]\ * "-"??_-;_-@_-</c:formatCode>
                <c:ptCount val="11"/>
                <c:pt idx="0">
                  <c:v>0.5</c:v>
                </c:pt>
                <c:pt idx="1">
                  <c:v>2.57</c:v>
                </c:pt>
                <c:pt idx="2">
                  <c:v>5</c:v>
                </c:pt>
                <c:pt idx="3">
                  <c:v>0.15</c:v>
                </c:pt>
                <c:pt idx="4">
                  <c:v>0.15</c:v>
                </c:pt>
                <c:pt idx="5">
                  <c:v>3</c:v>
                </c:pt>
                <c:pt idx="6">
                  <c:v>0.25</c:v>
                </c:pt>
                <c:pt idx="7">
                  <c:v>0.35</c:v>
                </c:pt>
                <c:pt idx="8">
                  <c:v>6</c:v>
                </c:pt>
                <c:pt idx="9">
                  <c:v>3.14</c:v>
                </c:pt>
                <c:pt idx="1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3-4361-9438-15E8509583E9}"/>
            </c:ext>
          </c:extLst>
        </c:ser>
        <c:ser>
          <c:idx val="2"/>
          <c:order val="2"/>
          <c:tx>
            <c:strRef>
              <c:f>Planilha1!$D$5</c:f>
              <c:strCache>
                <c:ptCount val="1"/>
                <c:pt idx="0">
                  <c:v>VENDA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Planilha1!$A$6:$A$17</c15:sqref>
                  </c15:fullRef>
                </c:ext>
              </c:extLst>
              <c:f>Planilha1!$A$6:$A$16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Planilha1!$D$6:$D$17</c15:sqref>
                  </c15:fullRef>
                </c:ext>
              </c:extLst>
              <c:f>Planilha1!$D$6:$D$16</c:f>
              <c:numCache>
                <c:formatCode>_-[$R$-416]\ * #,##0.00_-;\-[$R$-416]\ * #,##0.00_-;_-[$R$-416]\ * "-"??_-;_-@_-</c:formatCode>
                <c:ptCount val="11"/>
                <c:pt idx="0">
                  <c:v>0.55000000000000004</c:v>
                </c:pt>
                <c:pt idx="1">
                  <c:v>2.7</c:v>
                </c:pt>
                <c:pt idx="2">
                  <c:v>5.5</c:v>
                </c:pt>
                <c:pt idx="3">
                  <c:v>0.25</c:v>
                </c:pt>
                <c:pt idx="4">
                  <c:v>0.25</c:v>
                </c:pt>
                <c:pt idx="5">
                  <c:v>3.5</c:v>
                </c:pt>
                <c:pt idx="6">
                  <c:v>0.3</c:v>
                </c:pt>
                <c:pt idx="7">
                  <c:v>0.45</c:v>
                </c:pt>
                <c:pt idx="8">
                  <c:v>6.5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43-4361-9438-15E8509583E9}"/>
            </c:ext>
          </c:extLst>
        </c:ser>
        <c:ser>
          <c:idx val="4"/>
          <c:order val="4"/>
          <c:tx>
            <c:strRef>
              <c:f>Planilha1!$F$5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Planilha1!$A$6:$A$17</c15:sqref>
                  </c15:fullRef>
                </c:ext>
              </c:extLst>
              <c:f>Planilha1!$A$6:$A$16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Planilha1!$F$6:$F$17</c15:sqref>
                  </c15:fullRef>
                </c:ext>
              </c:extLst>
              <c:f>Planilha1!$F$6:$F$16</c:f>
              <c:numCache>
                <c:formatCode>_-[$$-409]* #,##0.00_ ;_-[$$-409]* \-#,##0.00\ ;_-[$$-409]* "-"??_ ;_-@_ </c:formatCode>
                <c:ptCount val="11"/>
                <c:pt idx="0">
                  <c:v>0.14970059880239522</c:v>
                </c:pt>
                <c:pt idx="1">
                  <c:v>0.76946107784431139</c:v>
                </c:pt>
                <c:pt idx="2">
                  <c:v>1.4970059880239521</c:v>
                </c:pt>
                <c:pt idx="3">
                  <c:v>4.4910179640718563E-2</c:v>
                </c:pt>
                <c:pt idx="4">
                  <c:v>4.4910179640718563E-2</c:v>
                </c:pt>
                <c:pt idx="5">
                  <c:v>0.89820359281437134</c:v>
                </c:pt>
                <c:pt idx="6">
                  <c:v>7.4850299401197612E-2</c:v>
                </c:pt>
                <c:pt idx="7">
                  <c:v>0.10479041916167664</c:v>
                </c:pt>
                <c:pt idx="8">
                  <c:v>1.7964071856287427</c:v>
                </c:pt>
                <c:pt idx="9">
                  <c:v>0.940119760479042</c:v>
                </c:pt>
                <c:pt idx="10">
                  <c:v>1.7005988023952097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43-4361-9438-15E8509583E9}"/>
            </c:ext>
          </c:extLst>
        </c:ser>
        <c:ser>
          <c:idx val="5"/>
          <c:order val="5"/>
          <c:tx>
            <c:strRef>
              <c:f>Planilha1!$G$5</c:f>
              <c:strCache>
                <c:ptCount val="1"/>
                <c:pt idx="0">
                  <c:v>VENDA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Planilha1!$A$6:$A$17</c15:sqref>
                  </c15:fullRef>
                </c:ext>
              </c:extLst>
              <c:f>Planilha1!$A$6:$A$16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 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Planilha1!$G$6:$G$17</c15:sqref>
                  </c15:fullRef>
                </c:ext>
              </c:extLst>
              <c:f>Planilha1!$G$6:$G$16</c:f>
              <c:numCache>
                <c:formatCode>_-[$$-409]* #,##0.00_ ;_-[$$-409]* \-#,##0.00\ ;_-[$$-409]* "-"??_ ;_-@_ </c:formatCode>
                <c:ptCount val="11"/>
                <c:pt idx="0">
                  <c:v>0.16841317365269462</c:v>
                </c:pt>
                <c:pt idx="1">
                  <c:v>0.86564371257485029</c:v>
                </c:pt>
                <c:pt idx="2">
                  <c:v>1.6841317365269461</c:v>
                </c:pt>
                <c:pt idx="3">
                  <c:v>5.0523952095808386E-2</c:v>
                </c:pt>
                <c:pt idx="4">
                  <c:v>5.0523952095808386E-2</c:v>
                </c:pt>
                <c:pt idx="5">
                  <c:v>1.0104790419161678</c:v>
                </c:pt>
                <c:pt idx="6">
                  <c:v>8.420658682634731E-2</c:v>
                </c:pt>
                <c:pt idx="7">
                  <c:v>0.11788922155688622</c:v>
                </c:pt>
                <c:pt idx="8">
                  <c:v>2.0209580838323356</c:v>
                </c:pt>
                <c:pt idx="9">
                  <c:v>1.0576347305389222</c:v>
                </c:pt>
                <c:pt idx="10">
                  <c:v>1.9131736526946108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43-4361-9438-15E850958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745311"/>
        <c:axId val="1588169887"/>
        <c:axId val="14874268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Planilha1!$B$5</c15:sqref>
                        </c15:formulaRef>
                      </c:ext>
                    </c:extLst>
                    <c:strCache>
                      <c:ptCount val="1"/>
                      <c:pt idx="0">
                        <c:v>ESTOQUE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cat>
                  <c:strRef>
                    <c:extLst>
                      <c:ext uri="{02D57815-91ED-43cb-92C2-25804820EDAC}">
                        <c15:fullRef>
                          <c15:sqref>Planilha1!$A$6:$A$17</c15:sqref>
                        </c15:fullRef>
                        <c15:formulaRef>
                          <c15:sqref>Planilha1!$A$6:$A$16</c15:sqref>
                        </c15:formulaRef>
                      </c:ext>
                    </c:extLst>
                    <c:strCache>
                      <c:ptCount val="11"/>
                      <c:pt idx="0">
                        <c:v>BORRACHA</c:v>
                      </c:pt>
                      <c:pt idx="1">
                        <c:v>CADERNO 100 FLS</c:v>
                      </c:pt>
                      <c:pt idx="2">
                        <c:v>CADERNO 200 FLS</c:v>
                      </c:pt>
                      <c:pt idx="3">
                        <c:v>CANETA AZUL</c:v>
                      </c:pt>
                      <c:pt idx="4">
                        <c:v>CANETA VERMELHA</c:v>
                      </c:pt>
                      <c:pt idx="5">
                        <c:v>LAPISEIRA</c:v>
                      </c:pt>
                      <c:pt idx="6">
                        <c:v>RÉGUA 15CM</c:v>
                      </c:pt>
                      <c:pt idx="7">
                        <c:v>RÉGUA 30 CM</c:v>
                      </c:pt>
                      <c:pt idx="8">
                        <c:v>GIZ DE CERA</c:v>
                      </c:pt>
                      <c:pt idx="9">
                        <c:v>COLA</c:v>
                      </c:pt>
                      <c:pt idx="10">
                        <c:v>COMPASSO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Planilha1!$B$6:$B$17</c15:sqref>
                        </c15:fullRef>
                        <c15:formulaRef>
                          <c15:sqref>Planilha1!$B$6:$B$16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500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1000</c:v>
                      </c:pt>
                      <c:pt idx="4">
                        <c:v>1000</c:v>
                      </c:pt>
                      <c:pt idx="5">
                        <c:v>200</c:v>
                      </c:pt>
                      <c:pt idx="6">
                        <c:v>500</c:v>
                      </c:pt>
                      <c:pt idx="7">
                        <c:v>500</c:v>
                      </c:pt>
                      <c:pt idx="8">
                        <c:v>50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43-4361-9438-15E8509583E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Planilha1!$E$5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Planilha1!$A$6:$A$17</c15:sqref>
                        </c15:fullRef>
                        <c15:formulaRef>
                          <c15:sqref>Planilha1!$A$6:$A$16</c15:sqref>
                        </c15:formulaRef>
                      </c:ext>
                    </c:extLst>
                    <c:strCache>
                      <c:ptCount val="11"/>
                      <c:pt idx="0">
                        <c:v>BORRACHA</c:v>
                      </c:pt>
                      <c:pt idx="1">
                        <c:v>CADERNO 100 FLS</c:v>
                      </c:pt>
                      <c:pt idx="2">
                        <c:v>CADERNO 200 FLS</c:v>
                      </c:pt>
                      <c:pt idx="3">
                        <c:v>CANETA AZUL</c:v>
                      </c:pt>
                      <c:pt idx="4">
                        <c:v>CANETA VERMELHA</c:v>
                      </c:pt>
                      <c:pt idx="5">
                        <c:v>LAPISEIRA</c:v>
                      </c:pt>
                      <c:pt idx="6">
                        <c:v>RÉGUA 15CM</c:v>
                      </c:pt>
                      <c:pt idx="7">
                        <c:v>RÉGUA 30 CM</c:v>
                      </c:pt>
                      <c:pt idx="8">
                        <c:v>GIZ DE CERA</c:v>
                      </c:pt>
                      <c:pt idx="9">
                        <c:v>COLA</c:v>
                      </c:pt>
                      <c:pt idx="10">
                        <c:v>COMPASSO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Planilha1!$E$6:$E$17</c15:sqref>
                        </c15:fullRef>
                        <c15:formulaRef>
                          <c15:sqref>Planilha1!$E$6:$E$16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11"/>
                      <c:pt idx="0">
                        <c:v>275</c:v>
                      </c:pt>
                      <c:pt idx="1">
                        <c:v>540</c:v>
                      </c:pt>
                      <c:pt idx="2">
                        <c:v>1650</c:v>
                      </c:pt>
                      <c:pt idx="3">
                        <c:v>250</c:v>
                      </c:pt>
                      <c:pt idx="4">
                        <c:v>250</c:v>
                      </c:pt>
                      <c:pt idx="5">
                        <c:v>700</c:v>
                      </c:pt>
                      <c:pt idx="6">
                        <c:v>150</c:v>
                      </c:pt>
                      <c:pt idx="7">
                        <c:v>225</c:v>
                      </c:pt>
                      <c:pt idx="8">
                        <c:v>325</c:v>
                      </c:pt>
                      <c:pt idx="9">
                        <c:v>400</c:v>
                      </c:pt>
                      <c:pt idx="10">
                        <c:v>600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43-4361-9438-15E8509583E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Planilha1!$H$5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Planilha1!$A$6:$A$17</c15:sqref>
                        </c15:fullRef>
                        <c15:formulaRef>
                          <c15:sqref>Planilha1!$A$6:$A$16</c15:sqref>
                        </c15:formulaRef>
                      </c:ext>
                    </c:extLst>
                    <c:strCache>
                      <c:ptCount val="11"/>
                      <c:pt idx="0">
                        <c:v>BORRACHA</c:v>
                      </c:pt>
                      <c:pt idx="1">
                        <c:v>CADERNO 100 FLS</c:v>
                      </c:pt>
                      <c:pt idx="2">
                        <c:v>CADERNO 200 FLS</c:v>
                      </c:pt>
                      <c:pt idx="3">
                        <c:v>CANETA AZUL</c:v>
                      </c:pt>
                      <c:pt idx="4">
                        <c:v>CANETA VERMELHA</c:v>
                      </c:pt>
                      <c:pt idx="5">
                        <c:v>LAPISEIRA</c:v>
                      </c:pt>
                      <c:pt idx="6">
                        <c:v>RÉGUA 15CM</c:v>
                      </c:pt>
                      <c:pt idx="7">
                        <c:v>RÉGUA 30 CM</c:v>
                      </c:pt>
                      <c:pt idx="8">
                        <c:v>GIZ DE CERA</c:v>
                      </c:pt>
                      <c:pt idx="9">
                        <c:v>COLA</c:v>
                      </c:pt>
                      <c:pt idx="10">
                        <c:v>COMPASSO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Planilha1!$H$6:$H$17</c15:sqref>
                        </c15:fullRef>
                        <c15:formulaRef>
                          <c15:sqref>Planilha1!$H$6:$H$16</c15:sqref>
                        </c15:formulaRef>
                      </c:ext>
                    </c:extLst>
                    <c:numCache>
                      <c:formatCode>_-[$$-409]* #,##0.00_ ;_-[$$-409]* \-#,##0.00\ ;_-[$$-409]* "-"??_ ;_-@_ </c:formatCode>
                      <c:ptCount val="11"/>
                      <c:pt idx="0">
                        <c:v>84.206586826347305</c:v>
                      </c:pt>
                      <c:pt idx="1">
                        <c:v>173.12874251497007</c:v>
                      </c:pt>
                      <c:pt idx="2">
                        <c:v>505.23952095808386</c:v>
                      </c:pt>
                      <c:pt idx="3">
                        <c:v>50.523952095808383</c:v>
                      </c:pt>
                      <c:pt idx="4">
                        <c:v>50.523952095808383</c:v>
                      </c:pt>
                      <c:pt idx="5">
                        <c:v>202.09580838323356</c:v>
                      </c:pt>
                      <c:pt idx="6">
                        <c:v>42.103293413173652</c:v>
                      </c:pt>
                      <c:pt idx="7">
                        <c:v>58.944610778443113</c:v>
                      </c:pt>
                      <c:pt idx="8">
                        <c:v>101.04790419161678</c:v>
                      </c:pt>
                      <c:pt idx="9">
                        <c:v>105.76347305389223</c:v>
                      </c:pt>
                      <c:pt idx="10">
                        <c:v>191.31736526946108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E43-4361-9438-15E8509583E9}"/>
                  </c:ext>
                </c:extLst>
              </c15:ser>
            </c15:filteredLineSeries>
          </c:ext>
        </c:extLst>
      </c:line3DChart>
      <c:catAx>
        <c:axId val="13007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169887"/>
        <c:crosses val="autoZero"/>
        <c:auto val="1"/>
        <c:lblAlgn val="ctr"/>
        <c:lblOffset val="100"/>
        <c:noMultiLvlLbl val="0"/>
      </c:catAx>
      <c:valAx>
        <c:axId val="158816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745311"/>
        <c:crosses val="autoZero"/>
        <c:crossBetween val="between"/>
      </c:valAx>
      <c:serAx>
        <c:axId val="14874268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169887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0</xdr:rowOff>
    </xdr:from>
    <xdr:to>
      <xdr:col>12</xdr:col>
      <xdr:colOff>9524</xdr:colOff>
      <xdr:row>20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496928-B072-493F-B41A-5849C178B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300A-E347-4B99-85FC-9093459A91C1}">
  <dimension ref="A1:H17"/>
  <sheetViews>
    <sheetView topLeftCell="A7" workbookViewId="0">
      <selection activeCell="B44" sqref="B44"/>
    </sheetView>
  </sheetViews>
  <sheetFormatPr defaultRowHeight="15" x14ac:dyDescent="0.25"/>
  <cols>
    <col min="1" max="1" width="19.28515625" customWidth="1"/>
    <col min="2" max="2" width="10.7109375" customWidth="1"/>
    <col min="3" max="4" width="10.28515625" customWidth="1"/>
    <col min="5" max="5" width="14.140625" customWidth="1"/>
    <col min="6" max="6" width="11" customWidth="1"/>
    <col min="7" max="7" width="11.5703125" customWidth="1"/>
    <col min="8" max="8" width="15" customWidth="1"/>
  </cols>
  <sheetData>
    <row r="1" spans="1:8" x14ac:dyDescent="0.25">
      <c r="E1" s="6" t="s">
        <v>21</v>
      </c>
      <c r="F1" s="6"/>
      <c r="G1" s="6"/>
    </row>
    <row r="2" spans="1:8" x14ac:dyDescent="0.25">
      <c r="A2" s="1" t="s">
        <v>17</v>
      </c>
      <c r="B2" s="2">
        <v>0.125</v>
      </c>
      <c r="E2" s="6"/>
      <c r="F2" s="6"/>
      <c r="G2" s="6"/>
    </row>
    <row r="3" spans="1:8" x14ac:dyDescent="0.25">
      <c r="A3" t="s">
        <v>18</v>
      </c>
      <c r="B3" s="3">
        <v>3.34</v>
      </c>
    </row>
    <row r="4" spans="1:8" x14ac:dyDescent="0.25">
      <c r="C4" s="4" t="s">
        <v>20</v>
      </c>
      <c r="D4" s="4"/>
      <c r="E4" s="4"/>
      <c r="F4" s="4" t="s">
        <v>19</v>
      </c>
      <c r="G4" s="4"/>
      <c r="H4" s="4"/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15</v>
      </c>
      <c r="H5" t="s">
        <v>16</v>
      </c>
    </row>
    <row r="6" spans="1:8" x14ac:dyDescent="0.25">
      <c r="A6" t="s">
        <v>0</v>
      </c>
      <c r="B6">
        <v>500</v>
      </c>
      <c r="C6" s="5">
        <v>0.5</v>
      </c>
      <c r="D6" s="5">
        <v>0.55000000000000004</v>
      </c>
      <c r="E6" s="5">
        <f>SUM(D6*B6)</f>
        <v>275</v>
      </c>
      <c r="F6" s="3">
        <f>SUM(C6/$B$3)</f>
        <v>0.14970059880239522</v>
      </c>
      <c r="G6" s="3">
        <f>F6*(1+$B$2)</f>
        <v>0.16841317365269462</v>
      </c>
      <c r="H6" s="3">
        <f>SUM(G6*B6)</f>
        <v>84.206586826347305</v>
      </c>
    </row>
    <row r="7" spans="1:8" x14ac:dyDescent="0.25">
      <c r="A7" t="s">
        <v>1</v>
      </c>
      <c r="B7">
        <v>200</v>
      </c>
      <c r="C7" s="5">
        <v>2.57</v>
      </c>
      <c r="D7" s="5">
        <v>2.7</v>
      </c>
      <c r="E7" s="5">
        <f t="shared" ref="E7:E17" si="0">SUM(D7*B7)</f>
        <v>540</v>
      </c>
      <c r="F7" s="3">
        <f>SUM(C7/$B$3)</f>
        <v>0.76946107784431139</v>
      </c>
      <c r="G7" s="3">
        <f>SUM(F7*(1+$B$2))</f>
        <v>0.86564371257485029</v>
      </c>
      <c r="H7" s="3">
        <f t="shared" ref="H7:H17" si="1">SUM(G7*B7)</f>
        <v>173.12874251497007</v>
      </c>
    </row>
    <row r="8" spans="1:8" x14ac:dyDescent="0.25">
      <c r="A8" t="s">
        <v>2</v>
      </c>
      <c r="B8">
        <v>300</v>
      </c>
      <c r="C8" s="5">
        <v>5</v>
      </c>
      <c r="D8" s="5">
        <v>5.5</v>
      </c>
      <c r="E8" s="5">
        <f t="shared" si="0"/>
        <v>1650</v>
      </c>
      <c r="F8" s="3">
        <f>SUM(C8/$B$3)</f>
        <v>1.4970059880239521</v>
      </c>
      <c r="G8" s="3">
        <f>SUM(F8*(1+$B$2))</f>
        <v>1.6841317365269461</v>
      </c>
      <c r="H8" s="3">
        <f t="shared" si="1"/>
        <v>505.23952095808386</v>
      </c>
    </row>
    <row r="9" spans="1:8" x14ac:dyDescent="0.25">
      <c r="A9" t="s">
        <v>3</v>
      </c>
      <c r="B9">
        <v>1000</v>
      </c>
      <c r="C9" s="5">
        <v>0.15</v>
      </c>
      <c r="D9" s="5">
        <v>0.25</v>
      </c>
      <c r="E9" s="5">
        <f t="shared" si="0"/>
        <v>250</v>
      </c>
      <c r="F9" s="3">
        <f t="shared" ref="F7:F17" si="2">SUM(C9/$B$3)</f>
        <v>4.4910179640718563E-2</v>
      </c>
      <c r="G9" s="3">
        <f t="shared" ref="G9:G17" si="3">SUM(F9*(1+$B$2))</f>
        <v>5.0523952095808386E-2</v>
      </c>
      <c r="H9" s="3">
        <f t="shared" si="1"/>
        <v>50.523952095808383</v>
      </c>
    </row>
    <row r="10" spans="1:8" x14ac:dyDescent="0.25">
      <c r="A10" t="s">
        <v>4</v>
      </c>
      <c r="B10">
        <v>1000</v>
      </c>
      <c r="C10" s="5">
        <v>0.15</v>
      </c>
      <c r="D10" s="5">
        <v>0.25</v>
      </c>
      <c r="E10" s="5">
        <f t="shared" si="0"/>
        <v>250</v>
      </c>
      <c r="F10" s="3">
        <f>SUM(C10/$B$3)</f>
        <v>4.4910179640718563E-2</v>
      </c>
      <c r="G10" s="3">
        <f t="shared" si="3"/>
        <v>5.0523952095808386E-2</v>
      </c>
      <c r="H10" s="3">
        <f t="shared" si="1"/>
        <v>50.523952095808383</v>
      </c>
    </row>
    <row r="11" spans="1:8" x14ac:dyDescent="0.25">
      <c r="A11" t="s">
        <v>5</v>
      </c>
      <c r="B11">
        <v>200</v>
      </c>
      <c r="C11" s="5">
        <v>3</v>
      </c>
      <c r="D11" s="5">
        <v>3.5</v>
      </c>
      <c r="E11" s="5">
        <f t="shared" si="0"/>
        <v>700</v>
      </c>
      <c r="F11" s="3">
        <f t="shared" si="2"/>
        <v>0.89820359281437134</v>
      </c>
      <c r="G11" s="3">
        <f t="shared" si="3"/>
        <v>1.0104790419161678</v>
      </c>
      <c r="H11" s="3">
        <f t="shared" si="1"/>
        <v>202.09580838323356</v>
      </c>
    </row>
    <row r="12" spans="1:8" x14ac:dyDescent="0.25">
      <c r="A12" t="s">
        <v>6</v>
      </c>
      <c r="B12">
        <v>500</v>
      </c>
      <c r="C12" s="5">
        <v>0.25</v>
      </c>
      <c r="D12" s="5">
        <v>0.3</v>
      </c>
      <c r="E12" s="5">
        <f t="shared" si="0"/>
        <v>150</v>
      </c>
      <c r="F12" s="3">
        <f t="shared" si="2"/>
        <v>7.4850299401197612E-2</v>
      </c>
      <c r="G12" s="3">
        <f t="shared" si="3"/>
        <v>8.420658682634731E-2</v>
      </c>
      <c r="H12" s="3">
        <f t="shared" si="1"/>
        <v>42.103293413173652</v>
      </c>
    </row>
    <row r="13" spans="1:8" x14ac:dyDescent="0.25">
      <c r="A13" t="s">
        <v>7</v>
      </c>
      <c r="B13">
        <v>500</v>
      </c>
      <c r="C13" s="5">
        <v>0.35</v>
      </c>
      <c r="D13" s="5">
        <v>0.45</v>
      </c>
      <c r="E13" s="5">
        <f t="shared" si="0"/>
        <v>225</v>
      </c>
      <c r="F13" s="3">
        <f t="shared" si="2"/>
        <v>0.10479041916167664</v>
      </c>
      <c r="G13" s="3">
        <f t="shared" si="3"/>
        <v>0.11788922155688622</v>
      </c>
      <c r="H13" s="3">
        <f t="shared" si="1"/>
        <v>58.944610778443113</v>
      </c>
    </row>
    <row r="14" spans="1:8" x14ac:dyDescent="0.25">
      <c r="A14" t="s">
        <v>8</v>
      </c>
      <c r="B14">
        <v>50</v>
      </c>
      <c r="C14" s="5">
        <v>6</v>
      </c>
      <c r="D14" s="5">
        <v>6.5</v>
      </c>
      <c r="E14" s="5">
        <f t="shared" si="0"/>
        <v>325</v>
      </c>
      <c r="F14" s="3">
        <f>SUM(C14/$B$3)</f>
        <v>1.7964071856287427</v>
      </c>
      <c r="G14" s="3">
        <f t="shared" si="3"/>
        <v>2.0209580838323356</v>
      </c>
      <c r="H14" s="3">
        <f t="shared" si="1"/>
        <v>101.04790419161678</v>
      </c>
    </row>
    <row r="15" spans="1:8" x14ac:dyDescent="0.25">
      <c r="A15" t="s">
        <v>9</v>
      </c>
      <c r="B15">
        <v>100</v>
      </c>
      <c r="C15" s="5">
        <v>3.14</v>
      </c>
      <c r="D15" s="5">
        <v>4</v>
      </c>
      <c r="E15" s="5">
        <f t="shared" si="0"/>
        <v>400</v>
      </c>
      <c r="F15" s="3">
        <f t="shared" si="2"/>
        <v>0.940119760479042</v>
      </c>
      <c r="G15" s="3">
        <f t="shared" si="3"/>
        <v>1.0576347305389222</v>
      </c>
      <c r="H15" s="3">
        <f t="shared" si="1"/>
        <v>105.76347305389223</v>
      </c>
    </row>
    <row r="16" spans="1:8" x14ac:dyDescent="0.25">
      <c r="A16" t="s">
        <v>10</v>
      </c>
      <c r="B16">
        <v>100</v>
      </c>
      <c r="C16" s="5">
        <v>5.68</v>
      </c>
      <c r="D16" s="5">
        <v>6</v>
      </c>
      <c r="E16" s="5">
        <f t="shared" si="0"/>
        <v>600</v>
      </c>
      <c r="F16" s="3">
        <f t="shared" si="2"/>
        <v>1.7005988023952097</v>
      </c>
      <c r="G16" s="3">
        <f t="shared" si="3"/>
        <v>1.9131736526946108</v>
      </c>
      <c r="H16" s="3">
        <f t="shared" si="1"/>
        <v>191.31736526946108</v>
      </c>
    </row>
    <row r="17" spans="1:8" x14ac:dyDescent="0.25">
      <c r="A17" t="s">
        <v>11</v>
      </c>
      <c r="B17">
        <f>SUM(B6:B16)</f>
        <v>4450</v>
      </c>
      <c r="C17" s="5">
        <f>SUM(C6:C16)</f>
        <v>26.79</v>
      </c>
      <c r="D17" s="5">
        <f>SUM(D6:D16)</f>
        <v>30</v>
      </c>
      <c r="E17" s="5">
        <f>SUM(E6:E16)</f>
        <v>5365</v>
      </c>
      <c r="F17" s="5">
        <f t="shared" ref="F17:H17" si="4">SUM(F6:F16)</f>
        <v>8.0209580838323351</v>
      </c>
      <c r="G17" s="5">
        <f t="shared" si="4"/>
        <v>9.0235778443113794</v>
      </c>
      <c r="H17" s="3">
        <f>SUM(H6:H16)</f>
        <v>1564.8952095808384</v>
      </c>
    </row>
  </sheetData>
  <mergeCells count="3">
    <mergeCell ref="C4:E4"/>
    <mergeCell ref="F4:H4"/>
    <mergeCell ref="E1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72FB-3786-4B3E-896C-67C74E5DA80B}">
  <dimension ref="A1"/>
  <sheetViews>
    <sheetView tabSelected="1" topLeftCell="D1" workbookViewId="0">
      <selection activeCell="H28" sqref="H2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2026-03-24T15:00:07Z</dcterms:created>
  <dcterms:modified xsi:type="dcterms:W3CDTF">2026-03-24T15:24:32Z</dcterms:modified>
</cp:coreProperties>
</file>