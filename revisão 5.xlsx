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8_{3A18911B-4EFE-4A4C-B905-B4EC1B5FFB51}" xr6:coauthVersionLast="36" xr6:coauthVersionMax="36" xr10:uidLastSave="{00000000-0000-0000-0000-000000000000}"/>
  <bookViews>
    <workbookView xWindow="0" yWindow="0" windowWidth="19170" windowHeight="12075" xr2:uid="{3899279C-73DA-467E-BE3A-6E4873B7C56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D16" i="1"/>
  <c r="E16" i="1"/>
  <c r="B16" i="1"/>
  <c r="E15" i="1"/>
  <c r="C15" i="1"/>
  <c r="D15" i="1"/>
  <c r="B15" i="1"/>
  <c r="C14" i="1"/>
  <c r="D14" i="1"/>
  <c r="E14" i="1"/>
  <c r="B14" i="1"/>
  <c r="F8" i="1"/>
  <c r="F9" i="1"/>
  <c r="F10" i="1"/>
  <c r="F11" i="1"/>
  <c r="F12" i="1"/>
  <c r="F7" i="1"/>
  <c r="F4" i="1"/>
</calcChain>
</file>

<file path=xl/sharedStrings.xml><?xml version="1.0" encoding="utf-8"?>
<sst xmlns="http://schemas.openxmlformats.org/spreadsheetml/2006/main" count="23" uniqueCount="18">
  <si>
    <t>PROJEÇÃO PARA O ANO DE 2003</t>
  </si>
  <si>
    <t>RECEITA BRUTA</t>
  </si>
  <si>
    <t>JAN-MAR</t>
  </si>
  <si>
    <t>ABR-JUN</t>
  </si>
  <si>
    <t>JUL-SET</t>
  </si>
  <si>
    <t>OUT-DEZ</t>
  </si>
  <si>
    <t>TOTAL ANO</t>
  </si>
  <si>
    <t>DESPESA LÍQUIDA</t>
  </si>
  <si>
    <t>SALÁRIOS</t>
  </si>
  <si>
    <t>JUROS</t>
  </si>
  <si>
    <t>ALUGUEL</t>
  </si>
  <si>
    <t>PROPAGANDA</t>
  </si>
  <si>
    <t>SUPRIMENTOS</t>
  </si>
  <si>
    <t>DEIVERSOS</t>
  </si>
  <si>
    <t>TOTAL TRIM.</t>
  </si>
  <si>
    <t>RECEITA LÍQUIDA</t>
  </si>
  <si>
    <t>SITUAÇÃO</t>
  </si>
  <si>
    <t>VALOR ACUMULADO DO ANO DE 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</si>
</sst>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43" fontId="0" fillId="0" borderId="0" xfId="1" applyNumberFormat="1" applyFont="1"/>
    <xf numFmtId="43" fontId="0" fillId="0" borderId="0" xfId="0" applyNumberFormat="1"/>
    <xf numFmtId="0" fontId="0" fillId="0" borderId="0" xfId="0" quotePrefix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1328-8721-4BE2-98FE-94E54949C04C}">
  <dimension ref="A1:F19"/>
  <sheetViews>
    <sheetView tabSelected="1" workbookViewId="0">
      <selection activeCell="J14" sqref="J14"/>
    </sheetView>
  </sheetViews>
  <sheetFormatPr defaultRowHeight="15" x14ac:dyDescent="0.25"/>
  <cols>
    <col min="1" max="1" width="16.5703125" customWidth="1"/>
    <col min="2" max="3" width="11.5703125" bestFit="1" customWidth="1"/>
    <col min="4" max="4" width="13.85546875" customWidth="1"/>
    <col min="5" max="5" width="13" customWidth="1"/>
    <col min="6" max="6" width="11.5703125" bestFit="1" customWidth="1"/>
    <col min="7" max="7" width="10.85546875" customWidth="1"/>
  </cols>
  <sheetData>
    <row r="1" spans="1:6" x14ac:dyDescent="0.25">
      <c r="C1" t="s">
        <v>0</v>
      </c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B4" s="1">
        <v>140000</v>
      </c>
      <c r="C4" s="1">
        <v>185000</v>
      </c>
      <c r="D4" s="1">
        <v>204100</v>
      </c>
      <c r="E4" s="1">
        <v>240000</v>
      </c>
      <c r="F4" s="2">
        <f>SUM(B4:E4)</f>
        <v>769100</v>
      </c>
    </row>
    <row r="6" spans="1:6" x14ac:dyDescent="0.25">
      <c r="A6" t="s">
        <v>7</v>
      </c>
      <c r="B6" t="s">
        <v>2</v>
      </c>
      <c r="C6" t="s">
        <v>3</v>
      </c>
      <c r="D6" t="s">
        <v>4</v>
      </c>
      <c r="E6" t="s">
        <v>5</v>
      </c>
      <c r="F6" t="s">
        <v>6</v>
      </c>
    </row>
    <row r="7" spans="1:6" x14ac:dyDescent="0.25">
      <c r="A7" t="s">
        <v>8</v>
      </c>
      <c r="B7" s="1">
        <v>20000</v>
      </c>
      <c r="C7" s="1">
        <v>26000</v>
      </c>
      <c r="D7" s="1">
        <v>33800</v>
      </c>
      <c r="E7" s="1">
        <v>43940</v>
      </c>
      <c r="F7" s="1">
        <f>SUM(B7:E7)</f>
        <v>123740</v>
      </c>
    </row>
    <row r="8" spans="1:6" x14ac:dyDescent="0.25">
      <c r="A8" t="s">
        <v>9</v>
      </c>
      <c r="B8" s="1">
        <v>20000</v>
      </c>
      <c r="C8" s="1">
        <v>15600</v>
      </c>
      <c r="D8" s="1">
        <v>20280</v>
      </c>
      <c r="E8" s="1">
        <v>26364</v>
      </c>
      <c r="F8" s="1">
        <f t="shared" ref="F8:F12" si="0">SUM(B8:E8)</f>
        <v>82244</v>
      </c>
    </row>
    <row r="9" spans="1:6" x14ac:dyDescent="0.25">
      <c r="A9" t="s">
        <v>10</v>
      </c>
      <c r="B9" s="1">
        <v>12000</v>
      </c>
      <c r="C9" s="1">
        <v>20930</v>
      </c>
      <c r="D9" s="1">
        <v>27209</v>
      </c>
      <c r="E9" s="1">
        <v>35371.699999999997</v>
      </c>
      <c r="F9" s="1">
        <f t="shared" si="0"/>
        <v>95510.7</v>
      </c>
    </row>
    <row r="10" spans="1:6" x14ac:dyDescent="0.25">
      <c r="A10" t="s">
        <v>11</v>
      </c>
      <c r="B10" s="1">
        <v>8</v>
      </c>
      <c r="C10" s="1">
        <v>28870</v>
      </c>
      <c r="D10" s="1">
        <v>33631</v>
      </c>
      <c r="E10" s="1">
        <v>43720.3</v>
      </c>
      <c r="F10" s="1">
        <f t="shared" si="0"/>
        <v>106229.3</v>
      </c>
    </row>
    <row r="11" spans="1:6" x14ac:dyDescent="0.25">
      <c r="A11" t="s">
        <v>12</v>
      </c>
      <c r="B11" s="1">
        <v>19900</v>
      </c>
      <c r="C11" s="1">
        <v>39000</v>
      </c>
      <c r="D11" s="1">
        <v>50700</v>
      </c>
      <c r="E11" s="1">
        <v>65910</v>
      </c>
      <c r="F11" s="1">
        <f t="shared" si="0"/>
        <v>175510</v>
      </c>
    </row>
    <row r="12" spans="1:6" x14ac:dyDescent="0.25">
      <c r="A12" t="s">
        <v>13</v>
      </c>
      <c r="B12" s="1">
        <v>25000</v>
      </c>
      <c r="C12" s="1">
        <v>32500</v>
      </c>
      <c r="D12" s="1">
        <v>42250</v>
      </c>
      <c r="E12" s="1">
        <v>54925</v>
      </c>
      <c r="F12" s="1">
        <f t="shared" si="0"/>
        <v>154675</v>
      </c>
    </row>
    <row r="14" spans="1:6" x14ac:dyDescent="0.25">
      <c r="A14" t="s">
        <v>14</v>
      </c>
      <c r="B14" s="3">
        <f>SUM(B7:B12)</f>
        <v>96908</v>
      </c>
      <c r="C14" s="3">
        <f t="shared" ref="C14:E14" si="1">SUM(C7:C12)</f>
        <v>162900</v>
      </c>
      <c r="D14" s="3">
        <f t="shared" si="1"/>
        <v>207870</v>
      </c>
      <c r="E14" s="3">
        <f t="shared" si="1"/>
        <v>270231</v>
      </c>
    </row>
    <row r="15" spans="1:6" x14ac:dyDescent="0.25">
      <c r="A15" t="s">
        <v>15</v>
      </c>
      <c r="B15" s="3">
        <f>B4-B14</f>
        <v>43092</v>
      </c>
      <c r="C15" s="3">
        <f t="shared" ref="C15:D15" si="2">C4-C14</f>
        <v>22100</v>
      </c>
      <c r="D15" s="3">
        <f t="shared" si="2"/>
        <v>-3770</v>
      </c>
      <c r="E15" s="3">
        <f>E4-E14</f>
        <v>-30231</v>
      </c>
    </row>
    <row r="16" spans="1:6" x14ac:dyDescent="0.25">
      <c r="A16" t="s">
        <v>16</v>
      </c>
      <c r="B16" t="str">
        <f>IF(B15&lt;1000,"Prejuízo total",IF(B15&lt;=5000,"Lucro Médio",IF(B15&gt;5000,"Lucro total")))</f>
        <v>Lucro total</v>
      </c>
      <c r="C16" t="str">
        <f t="shared" ref="C16:E16" si="3">IF(C15&lt;1000,"Prejuízo total",IF(C15&lt;=5000,"Lucro Médio",IF(C15&gt;5000,"Lucro total")))</f>
        <v>Lucro total</v>
      </c>
      <c r="D16" t="str">
        <f t="shared" si="3"/>
        <v>Prejuízo total</v>
      </c>
      <c r="E16" t="str">
        <f t="shared" si="3"/>
        <v>Prejuízo total</v>
      </c>
    </row>
    <row r="17" spans="1:3" x14ac:dyDescent="0.25">
      <c r="C17" t="s">
        <v>17</v>
      </c>
    </row>
    <row r="19" spans="1:3" x14ac:dyDescent="0.25">
      <c r="A19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2026-03-10T14:26:37Z</dcterms:created>
  <dcterms:modified xsi:type="dcterms:W3CDTF">2026-03-10T14:51:50Z</dcterms:modified>
</cp:coreProperties>
</file>